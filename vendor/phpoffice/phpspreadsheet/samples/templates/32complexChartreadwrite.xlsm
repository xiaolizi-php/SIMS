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27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<sst xmlns="http://schemas.openxmlformats.org/spreadsheetml/2006/main" count="35" uniqueCount="23">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</sst>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>
        <c:manualLayout>
          <c:xMode val="edge"/>
          <c:yMode val="edge"/>
          <c:x val="0.428477816232664"/>
          <c:y val="0.024658151908226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954140029521262"/>
          <c:y val="0.147389969293756"/>
          <c:w val="0.754641160497932"/>
          <c:h val="0.66707674198953"/>
        </c:manualLayout>
      </c:layout>
      <c:lineChart>
        <c:grouping val="standard"/>
        <c:varyColors val="0"/>
        <c:ser>
          <c:idx val="0"/>
          <c:order val="0"/>
          <c:tx>
            <c:strRef>
              <c:f>'Data (2)'!$A$4</c:f>
              <c:strCache>
                <c:ptCount val="1"/>
                <c:pt idx="0">
                  <c:v>Budget</c:v>
                </c:pt>
              </c:strCache>
            </c:strRef>
          </c:tx>
          <c:spPr>
            <a:ln w="12700" cap="rnd" cmpd="sng" algn="ctr">
              <a:solidFill>
                <a:srgbClr val="000080"/>
              </a:solidFill>
              <a:prstDash val="solid"/>
              <a:round/>
            </a:ln>
          </c:spPr>
          <c:marker>
            <c:symbol val="x"/>
            <c:size val="5"/>
            <c:spPr>
              <a:solidFill>
                <a:srgbClr val="000080"/>
              </a:solidFill>
              <a:ln w="9525" cap="flat" cmpd="sng" algn="ctr">
                <a:solidFill>
                  <a:srgbClr val="000080"/>
                </a:solidFill>
                <a:prstDash val="solid"/>
                <a:round/>
              </a:ln>
            </c:spPr>
          </c:marker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1430</c:v>
                </c:pt>
                <c:pt idx="1">
                  <c:v>3180</c:v>
                </c:pt>
                <c:pt idx="2">
                  <c:v>3240</c:v>
                </c:pt>
                <c:pt idx="3">
                  <c:v>3000</c:v>
                </c:pt>
                <c:pt idx="4">
                  <c:v>1950</c:v>
                </c:pt>
                <c:pt idx="5">
                  <c:v>3180</c:v>
                </c:pt>
                <c:pt idx="6">
                  <c:v>1860</c:v>
                </c:pt>
                <c:pt idx="7">
                  <c:v>1300</c:v>
                </c:pt>
                <c:pt idx="8">
                  <c:v>3420</c:v>
                </c:pt>
                <c:pt idx="9">
                  <c:v>1140</c:v>
                </c:pt>
                <c:pt idx="10">
                  <c:v>620</c:v>
                </c:pt>
                <c:pt idx="11">
                  <c:v>1960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'Data (2)'!$A$5</c:f>
              <c:strCache>
                <c:ptCount val="1"/>
                <c:pt idx="0">
                  <c:v>Projected</c:v>
                </c:pt>
              </c:strCache>
            </c:strRef>
          </c:tx>
          <c:spPr>
            <a:ln w="12700" cap="rnd" cmpd="sng" algn="ctr">
              <a:solidFill>
                <a:srgbClr val="FF00FF"/>
              </a:solidFill>
              <a:prstDash val="solid"/>
              <a:round/>
            </a:ln>
          </c:spPr>
          <c:marker>
            <c:symbol val="triangle"/>
            <c:size val="5"/>
            <c:spPr>
              <a:solidFill>
                <a:srgbClr val="FF00FF"/>
              </a:solidFill>
              <a:ln w="9525" cap="flat" cmpd="sng" algn="ctr">
                <a:solidFill>
                  <a:srgbClr val="FF00FF"/>
                </a:solidFill>
                <a:prstDash val="solid"/>
                <a:round/>
              </a:ln>
            </c:spPr>
          </c:marker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(2)'!$B$5:$M$5</c:f>
              <c:numCache>
                <c:formatCode>General</c:formatCode>
                <c:ptCount val="12"/>
                <c:pt idx="0">
                  <c:v>870</c:v>
                </c:pt>
                <c:pt idx="1">
                  <c:v>530</c:v>
                </c:pt>
                <c:pt idx="2">
                  <c:v>1920</c:v>
                </c:pt>
                <c:pt idx="3">
                  <c:v>3320</c:v>
                </c:pt>
                <c:pt idx="4">
                  <c:v>2580</c:v>
                </c:pt>
                <c:pt idx="5">
                  <c:v>2700</c:v>
                </c:pt>
                <c:pt idx="6">
                  <c:v>990</c:v>
                </c:pt>
                <c:pt idx="7">
                  <c:v>630</c:v>
                </c:pt>
                <c:pt idx="8">
                  <c:v>3020</c:v>
                </c:pt>
                <c:pt idx="9">
                  <c:v>3270</c:v>
                </c:pt>
                <c:pt idx="10">
                  <c:v>1350</c:v>
                </c:pt>
                <c:pt idx="11">
                  <c:v>1290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'Data (2)'!$A$6</c:f>
              <c:strCache>
                <c:ptCount val="1"/>
                <c:pt idx="0">
                  <c:v>Actual</c:v>
                </c:pt>
              </c:strCache>
            </c:strRef>
          </c:tx>
          <c:spPr>
            <a:ln w="12700" cap="rnd" cmpd="sng" algn="ctr">
              <a:solidFill>
                <a:srgbClr val="FFFF00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rgbClr val="FFFF00"/>
              </a:solidFill>
              <a:ln w="9525" cap="flat" cmpd="sng" algn="ctr">
                <a:solidFill>
                  <a:srgbClr val="FFFF00"/>
                </a:solidFill>
                <a:prstDash val="solid"/>
                <a:round/>
              </a:ln>
            </c:spPr>
          </c:marker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540</c:v>
                </c:pt>
                <c:pt idx="1">
                  <c:v>1180</c:v>
                </c:pt>
                <c:pt idx="2">
                  <c:v>1260</c:v>
                </c:pt>
                <c:pt idx="3">
                  <c:v>2370</c:v>
                </c:pt>
                <c:pt idx="4">
                  <c:v>830</c:v>
                </c:pt>
                <c:pt idx="5">
                  <c:v>3010</c:v>
                </c:pt>
                <c:pt idx="6">
                  <c:v>2670</c:v>
                </c:pt>
                <c:pt idx="7">
                  <c:v>2460</c:v>
                </c:pt>
                <c:pt idx="8">
                  <c:v>1490</c:v>
                </c:pt>
                <c:pt idx="9">
                  <c:v>1730</c:v>
                </c:pt>
                <c:pt idx="10">
                  <c:v>2180</c:v>
                </c:pt>
                <c:pt idx="11">
                  <c:v>2280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'Data (2)'!$A$7</c:f>
              <c:strCache>
                <c:ptCount val="1"/>
                <c:pt idx="0">
                  <c:v>Forecast</c:v>
                </c:pt>
              </c:strCache>
            </c:strRef>
          </c:tx>
          <c:spPr>
            <a:ln w="12700" cap="rnd" cmpd="sng" algn="ctr">
              <a:solidFill>
                <a:srgbClr val="00FFFF"/>
              </a:solidFill>
              <a:prstDash val="solid"/>
              <a:round/>
            </a:ln>
          </c:spPr>
          <c:marker>
            <c:symbol val="plus"/>
            <c:size val="5"/>
            <c:spPr>
              <a:noFill/>
              <a:ln w="9525" cap="flat" cmpd="sng" algn="ctr">
                <a:solidFill>
                  <a:srgbClr val="00FFFF"/>
                </a:solidFill>
                <a:prstDash val="solid"/>
                <a:round/>
              </a:ln>
            </c:spPr>
          </c:marker>
          <c:dLbls>
            <c:delete val="1"/>
          </c:dLbls>
          <c:val>
            <c:numRef>
              <c:f>'Data (2)'!$B$7:$M$7</c:f>
              <c:numCache>
                <c:formatCode>General</c:formatCode>
                <c:ptCount val="12"/>
                <c:pt idx="0">
                  <c:v>1570</c:v>
                </c:pt>
                <c:pt idx="1">
                  <c:v>2760</c:v>
                </c:pt>
                <c:pt idx="2">
                  <c:v>2620</c:v>
                </c:pt>
                <c:pt idx="3">
                  <c:v>770</c:v>
                </c:pt>
                <c:pt idx="4">
                  <c:v>1610</c:v>
                </c:pt>
                <c:pt idx="5">
                  <c:v>1320</c:v>
                </c:pt>
                <c:pt idx="6">
                  <c:v>2940</c:v>
                </c:pt>
                <c:pt idx="7">
                  <c:v>2850</c:v>
                </c:pt>
                <c:pt idx="8">
                  <c:v>2960</c:v>
                </c:pt>
                <c:pt idx="9">
                  <c:v>2270</c:v>
                </c:pt>
                <c:pt idx="10">
                  <c:v>1160</c:v>
                </c:pt>
                <c:pt idx="11">
                  <c:v>2600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832192"/>
        <c:axId val="81834752"/>
      </c:lineChart>
      <c:catAx>
        <c:axId val="81832192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2400" b="1" i="0" u="none" strike="noStrike" kern="1200" baseline="0">
                    <a:solidFill>
                      <a:srgbClr val="000000"/>
                    </a:solidFill>
                    <a:latin typeface="Eurostile"/>
                    <a:ea typeface="Eurostile"/>
                    <a:cs typeface="Eurostile"/>
                  </a:defRPr>
                </a:pPr>
                <a:r>
                  <a:rPr lang="en-GB" sz="1600"/>
                  <a:t>Financial Period</a:t>
                </a:r>
                <a:endParaRPr lang="en-GB" sz="1600"/>
              </a:p>
            </c:rich>
          </c:tx>
          <c:layout>
            <c:manualLayout>
              <c:xMode val="edge"/>
              <c:yMode val="edge"/>
              <c:x val="0.395286465869651"/>
              <c:y val="0.9301634757584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1834752"/>
        <c:crosses val="autoZero"/>
        <c:auto val="1"/>
        <c:lblAlgn val="ctr"/>
        <c:lblOffset val="100"/>
        <c:noMultiLvlLbl val="0"/>
      </c:catAx>
      <c:valAx>
        <c:axId val="81834752"/>
        <c:scaling>
          <c:orientation val="minMax"/>
        </c:scaling>
        <c:delete val="0"/>
        <c:axPos val="l"/>
        <c:majorGridlines/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2400" b="1" i="0" u="none" strike="noStrike" kern="1200" baseline="0">
                    <a:solidFill>
                      <a:srgbClr val="000000"/>
                    </a:solidFill>
                    <a:latin typeface="Eurostile"/>
                    <a:ea typeface="Eurostile"/>
                    <a:cs typeface="Eurostile"/>
                  </a:defRPr>
                </a:pPr>
                <a:r>
                  <a:rPr lang="en-GB" sz="1600"/>
                  <a:t>Value (£)</a:t>
                </a:r>
                <a:endParaRPr lang="en-GB" sz="1600"/>
              </a:p>
            </c:rich>
          </c:tx>
          <c:layout>
            <c:manualLayout>
              <c:xMode val="edge"/>
              <c:yMode val="edge"/>
              <c:x val="0.00270124257158293"/>
              <c:y val="0.4206755373592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1832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55212568198649"/>
          <c:y val="0.394801440959121"/>
          <c:w val="0.13171507952101"/>
          <c:h val="0.252495336817075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A1" sqref="A1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1430</v>
      </c>
      <c r="C4" s="1">
        <f ca="1" t="shared" si="0"/>
        <v>3180</v>
      </c>
      <c r="D4" s="1">
        <f ca="1" t="shared" si="0"/>
        <v>3240</v>
      </c>
      <c r="E4" s="1">
        <f ca="1" t="shared" si="0"/>
        <v>3000</v>
      </c>
      <c r="F4" s="1">
        <f ca="1" t="shared" si="0"/>
        <v>1950</v>
      </c>
      <c r="G4" s="1">
        <f ca="1" t="shared" si="0"/>
        <v>3180</v>
      </c>
      <c r="H4" s="1">
        <f ca="1" t="shared" si="0"/>
        <v>1860</v>
      </c>
      <c r="I4" s="1">
        <f ca="1" t="shared" si="0"/>
        <v>1300</v>
      </c>
      <c r="J4" s="1">
        <f ca="1" t="shared" si="0"/>
        <v>3420</v>
      </c>
      <c r="K4" s="1">
        <f ca="1" t="shared" si="0"/>
        <v>1140</v>
      </c>
      <c r="L4" s="1">
        <f ca="1" t="shared" si="0"/>
        <v>620</v>
      </c>
      <c r="M4" s="1">
        <f ca="1" t="shared" si="0"/>
        <v>1960</v>
      </c>
    </row>
    <row r="5" ht="15" spans="1:13">
      <c r="A5" s="3" t="s">
        <v>20</v>
      </c>
      <c r="B5" s="1">
        <f ca="1" t="shared" ref="B5:M5" si="1">(RANDBETWEEN(-50,250)+100)*10</f>
        <v>870</v>
      </c>
      <c r="C5" s="1">
        <f ca="1" t="shared" si="1"/>
        <v>530</v>
      </c>
      <c r="D5" s="1">
        <f ca="1" t="shared" si="1"/>
        <v>1920</v>
      </c>
      <c r="E5" s="1">
        <f ca="1" t="shared" si="1"/>
        <v>3320</v>
      </c>
      <c r="F5" s="1">
        <f ca="1" t="shared" si="1"/>
        <v>2580</v>
      </c>
      <c r="G5" s="1">
        <f ca="1" t="shared" si="1"/>
        <v>2700</v>
      </c>
      <c r="H5" s="1">
        <f ca="1" t="shared" si="1"/>
        <v>990</v>
      </c>
      <c r="I5" s="1">
        <f ca="1" t="shared" si="1"/>
        <v>630</v>
      </c>
      <c r="J5" s="1">
        <f ca="1" t="shared" si="1"/>
        <v>3020</v>
      </c>
      <c r="K5" s="1">
        <f ca="1" t="shared" si="1"/>
        <v>3270</v>
      </c>
      <c r="L5" s="1">
        <f ca="1" t="shared" si="1"/>
        <v>1350</v>
      </c>
      <c r="M5" s="1">
        <f ca="1" t="shared" si="1"/>
        <v>1290</v>
      </c>
    </row>
    <row r="6" ht="15" spans="1:13">
      <c r="A6" s="3" t="s">
        <v>21</v>
      </c>
      <c r="B6" s="1">
        <f ca="1" t="shared" ref="B6:M6" si="2">(RANDBETWEEN(-50,250)+100)*10</f>
        <v>540</v>
      </c>
      <c r="C6" s="1">
        <f ca="1" t="shared" si="2"/>
        <v>1180</v>
      </c>
      <c r="D6" s="1">
        <f ca="1" t="shared" si="2"/>
        <v>1260</v>
      </c>
      <c r="E6" s="1">
        <f ca="1" t="shared" si="2"/>
        <v>2370</v>
      </c>
      <c r="F6" s="1">
        <f ca="1" t="shared" si="2"/>
        <v>830</v>
      </c>
      <c r="G6" s="1">
        <f ca="1" t="shared" si="2"/>
        <v>3010</v>
      </c>
      <c r="H6" s="1">
        <f ca="1" t="shared" si="2"/>
        <v>2670</v>
      </c>
      <c r="I6" s="1">
        <f ca="1" t="shared" si="2"/>
        <v>2460</v>
      </c>
      <c r="J6" s="1">
        <f ca="1" t="shared" si="2"/>
        <v>1490</v>
      </c>
      <c r="K6" s="1">
        <f ca="1" t="shared" si="2"/>
        <v>1730</v>
      </c>
      <c r="L6" s="1">
        <f ca="1" t="shared" si="2"/>
        <v>2180</v>
      </c>
      <c r="M6" s="1">
        <f ca="1" t="shared" si="2"/>
        <v>2280</v>
      </c>
    </row>
    <row r="7" ht="15" spans="1:13">
      <c r="A7" s="3" t="s">
        <v>22</v>
      </c>
      <c r="B7" s="1">
        <f ca="1" t="shared" ref="B7:M7" si="3">(RANDBETWEEN(-50,250)+100)*10</f>
        <v>1570</v>
      </c>
      <c r="C7" s="1">
        <f ca="1" t="shared" si="3"/>
        <v>2760</v>
      </c>
      <c r="D7" s="1">
        <f ca="1" t="shared" si="3"/>
        <v>2620</v>
      </c>
      <c r="E7" s="1">
        <f ca="1" t="shared" si="3"/>
        <v>770</v>
      </c>
      <c r="F7" s="1">
        <f ca="1" t="shared" si="3"/>
        <v>1610</v>
      </c>
      <c r="G7" s="1">
        <f ca="1" t="shared" si="3"/>
        <v>1320</v>
      </c>
      <c r="H7" s="1">
        <f ca="1" t="shared" si="3"/>
        <v>2940</v>
      </c>
      <c r="I7" s="1">
        <f ca="1" t="shared" si="3"/>
        <v>2850</v>
      </c>
      <c r="J7" s="1">
        <f ca="1" t="shared" si="3"/>
        <v>2960</v>
      </c>
      <c r="K7" s="1">
        <f ca="1" t="shared" si="3"/>
        <v>2270</v>
      </c>
      <c r="L7" s="1">
        <f ca="1" t="shared" si="3"/>
        <v>1160</v>
      </c>
      <c r="M7" s="1">
        <f ca="1" t="shared" si="3"/>
        <v>2600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